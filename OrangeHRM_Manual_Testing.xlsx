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 showHorizontalScroll="1" showVerticalScroll="1"/>
  </bookViews>
  <sheets>
    <sheet name="Test Cases" sheetId="1" state="visible" r:id="rId1"/>
    <sheet name="Bug Report" sheetId="2" state="visible" r:id="rId2"/>
    <sheet name="Test Summary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<sst xmlns="http://schemas.openxmlformats.org/spreadsheetml/2006/main" count="362" uniqueCount="362">
  <si>
    <t xml:space="preserve">OrangeHRM – Manual Test Cases (50 Test Cases)</t>
  </si>
  <si>
    <t xml:space="preserve">Site: https://opensource-demo.orangehrmlive.com  |  Tester: Mohammed Samir  </t>
  </si>
  <si>
    <t xml:space="preserve">Test ID</t>
  </si>
  <si>
    <t>Module</t>
  </si>
  <si>
    <t xml:space="preserve">Test Case Title</t>
  </si>
  <si>
    <t>Preconditions</t>
  </si>
  <si>
    <t xml:space="preserve">Test Steps</t>
  </si>
  <si>
    <t xml:space="preserve">Test Data</t>
  </si>
  <si>
    <t xml:space="preserve">Expected Result</t>
  </si>
  <si>
    <t xml:space="preserve">Actual Result</t>
  </si>
  <si>
    <t>Status</t>
  </si>
  <si>
    <t>Priority</t>
  </si>
  <si>
    <t>Remarks</t>
  </si>
  <si>
    <t>TC_001</t>
  </si>
  <si>
    <t>Login</t>
  </si>
  <si>
    <t xml:space="preserve">Valid login with correct credentials</t>
  </si>
  <si>
    <t xml:space="preserve">User is on login page</t>
  </si>
  <si>
    <t xml:space="preserve">1. Open site
2. Enter Username: Admin
3. Enter Password: admin123
4. Click Login</t>
  </si>
  <si>
    <t xml:space="preserve">Username: Admin
Password: admin123</t>
  </si>
  <si>
    <t xml:space="preserve">User redirected to Dashboard successfully</t>
  </si>
  <si>
    <t xml:space="preserve">User successfully redirected to Dashboard with welcome message</t>
  </si>
  <si>
    <t>Pass</t>
  </si>
  <si>
    <t>High</t>
  </si>
  <si>
    <t>TC_002</t>
  </si>
  <si>
    <t xml:space="preserve">Login with incorrect password</t>
  </si>
  <si>
    <t xml:space="preserve">1. Enter Username: Admin
2. Enter Password: wrongpass
3. Click Login</t>
  </si>
  <si>
    <t xml:space="preserve">Username: Admin
Password: wrongpass</t>
  </si>
  <si>
    <t xml:space="preserve">Error message "Invalid credentials" is displayed</t>
  </si>
  <si>
    <t xml:space="preserve">Error message "Invalid credentials" displayed; user remains on login page</t>
  </si>
  <si>
    <t>TC_003</t>
  </si>
  <si>
    <t xml:space="preserve">Login with incorrect username</t>
  </si>
  <si>
    <t xml:space="preserve">1. Enter Username: wronguser
2. Enter Password: admin123
3. Click Login</t>
  </si>
  <si>
    <t xml:space="preserve">Username: wronguser
Password: admin123</t>
  </si>
  <si>
    <t>TC_004</t>
  </si>
  <si>
    <t xml:space="preserve">Login with empty username</t>
  </si>
  <si>
    <t xml:space="preserve">1. Leave Username blank
2. Enter Password: admin123
3. Click Login</t>
  </si>
  <si>
    <t xml:space="preserve">Username: (empty)</t>
  </si>
  <si>
    <t xml:space="preserve">Validation error "Required" shown under Username field</t>
  </si>
  <si>
    <t xml:space="preserve">Validation error "Required" displayed below Username field</t>
  </si>
  <si>
    <t>TC_005</t>
  </si>
  <si>
    <t xml:space="preserve">Login with empty password</t>
  </si>
  <si>
    <t xml:space="preserve">1. Enter Username: Admin
2. Leave Password blank
3. Click Login</t>
  </si>
  <si>
    <t xml:space="preserve">Password: (empty)</t>
  </si>
  <si>
    <t xml:space="preserve">Validation error "Required" shown under Password field</t>
  </si>
  <si>
    <t xml:space="preserve">Validation error "Required" displayed below Password field</t>
  </si>
  <si>
    <t>TC_006</t>
  </si>
  <si>
    <t xml:space="preserve">Login with both fields empty</t>
  </si>
  <si>
    <t xml:space="preserve">1. Leave both fields blank
2. Click Login</t>
  </si>
  <si>
    <t xml:space="preserve">Both fields: empty</t>
  </si>
  <si>
    <t xml:space="preserve">Validation errors shown for both fields</t>
  </si>
  <si>
    <t xml:space="preserve">Validation errors "Required" displayed under both Username and Password fields</t>
  </si>
  <si>
    <t>Medium</t>
  </si>
  <si>
    <t>TC_007</t>
  </si>
  <si>
    <t xml:space="preserve">Login with case-sensitive username</t>
  </si>
  <si>
    <t xml:space="preserve">1. Enter Username: admin (lowercase)
2. Enter Password: admin123
3. Click Login</t>
  </si>
  <si>
    <t xml:space="preserve">Username: admin
Password: admin123</t>
  </si>
  <si>
    <t xml:space="preserve">Error message shown — username is case-sensitive</t>
  </si>
  <si>
    <t xml:space="preserve">Error message "Invalid credentials" displayed; login fails with lowercase username</t>
  </si>
  <si>
    <t>TC_008</t>
  </si>
  <si>
    <t xml:space="preserve">Forgot Password link navigation</t>
  </si>
  <si>
    <t xml:space="preserve">1. Click "Forgot your password?" link</t>
  </si>
  <si>
    <t>N/A</t>
  </si>
  <si>
    <t xml:space="preserve">User redirected to Reset Password page</t>
  </si>
  <si>
    <t xml:space="preserve">User redirected to Reset Password page successfully</t>
  </si>
  <si>
    <t>TC_009</t>
  </si>
  <si>
    <t xml:space="preserve">Forgot Password with valid username</t>
  </si>
  <si>
    <t xml:space="preserve">User is on Reset Password page</t>
  </si>
  <si>
    <t xml:space="preserve">1. Enter Username: Admin
2. Click Reset Password</t>
  </si>
  <si>
    <t xml:space="preserve">Username: Admin</t>
  </si>
  <si>
    <t xml:space="preserve">Success message displayed</t>
  </si>
  <si>
    <t xml:space="preserve">Success message "Reset Password link sent successfully" displayed</t>
  </si>
  <si>
    <t>TC_010</t>
  </si>
  <si>
    <t xml:space="preserve">Forgot Password with empty username</t>
  </si>
  <si>
    <t xml:space="preserve">1. Leave Username blank
2. Click Reset Password</t>
  </si>
  <si>
    <t xml:space="preserve">Validation error "Required" shown</t>
  </si>
  <si>
    <t>TC_011</t>
  </si>
  <si>
    <t>Dashboard</t>
  </si>
  <si>
    <t xml:space="preserve">Dashboard loads after login</t>
  </si>
  <si>
    <t xml:space="preserve">User is logged in</t>
  </si>
  <si>
    <t xml:space="preserve">1. Login as Admin
2. Observe Dashboard</t>
  </si>
  <si>
    <t xml:space="preserve">Dashboard loads with all widgets visible</t>
  </si>
  <si>
    <t xml:space="preserve">Dashboard loads successfully with Time at Work, My Actions, and Quick Launch widgets</t>
  </si>
  <si>
    <t>TC_012</t>
  </si>
  <si>
    <t xml:space="preserve">Quick Launch — Apply Leave shortcut</t>
  </si>
  <si>
    <t xml:space="preserve">User is on Dashboard</t>
  </si>
  <si>
    <t xml:space="preserve">1. Click "Apply Leave" in Quick Launch</t>
  </si>
  <si>
    <t xml:space="preserve">Apply Leave page opens</t>
  </si>
  <si>
    <t xml:space="preserve">Apply Leave page opens correctly</t>
  </si>
  <si>
    <t>TC_013</t>
  </si>
  <si>
    <t xml:space="preserve">Quick Launch — My Leave shortcut</t>
  </si>
  <si>
    <t xml:space="preserve">1. Click "My Leave" in Quick Launch</t>
  </si>
  <si>
    <t xml:space="preserve">My Leave page opens</t>
  </si>
  <si>
    <t xml:space="preserve">My Leave list page opens correctly</t>
  </si>
  <si>
    <t>TC_014</t>
  </si>
  <si>
    <t xml:space="preserve">Top navigation — Admin menu</t>
  </si>
  <si>
    <t xml:space="preserve">1. Click "Admin" in top nav</t>
  </si>
  <si>
    <t xml:space="preserve">Admin module opens</t>
  </si>
  <si>
    <t xml:space="preserve">Admin module opens showing User Management page</t>
  </si>
  <si>
    <t>TC_015</t>
  </si>
  <si>
    <t xml:space="preserve">Top navigation — PIM menu</t>
  </si>
  <si>
    <t xml:space="preserve">1. Click "PIM" in top nav</t>
  </si>
  <si>
    <t xml:space="preserve">PIM module opens with Employee List</t>
  </si>
  <si>
    <t xml:space="preserve">PIM module opens with Employee List page</t>
  </si>
  <si>
    <t>TC_016</t>
  </si>
  <si>
    <t xml:space="preserve">Top navigation — Leave menu</t>
  </si>
  <si>
    <t xml:space="preserve">1. Click "Leave" in top nav</t>
  </si>
  <si>
    <t xml:space="preserve">Leave module opens</t>
  </si>
  <si>
    <t xml:space="preserve">Leave module opens showing Leave List page</t>
  </si>
  <si>
    <t>TC_017</t>
  </si>
  <si>
    <t>Leave</t>
  </si>
  <si>
    <t xml:space="preserve">Apply Leave with valid data</t>
  </si>
  <si>
    <t xml:space="preserve">User logged in; navigate to Leave &gt; Apply</t>
  </si>
  <si>
    <t xml:space="preserve">1. Select Leave Type: Annual Leave
2. Select future From Date
3. Select future To Date
4. Enter Comment: Test leave
5. Click Apply</t>
  </si>
  <si>
    <t xml:space="preserve">Leave Type: Annual Leave
Dates: future valid dates</t>
  </si>
  <si>
    <t xml:space="preserve">Leave submitted successfully</t>
  </si>
  <si>
    <t xml:space="preserve">Leave request submitted and appears in My Leave list with Pending status</t>
  </si>
  <si>
    <t>TC_018</t>
  </si>
  <si>
    <t xml:space="preserve">Apply Leave without selecting leave type</t>
  </si>
  <si>
    <t xml:space="preserve">User is on Apply Leave page</t>
  </si>
  <si>
    <t xml:space="preserve">1. Skip Leave Type
2. Fill other fields
3. Click Apply</t>
  </si>
  <si>
    <t xml:space="preserve">Leave Type: (not selected)</t>
  </si>
  <si>
    <t xml:space="preserve">Validation error shown for Leave Type</t>
  </si>
  <si>
    <t xml:space="preserve">Validation error "Required" displayed under Leave Type field</t>
  </si>
  <si>
    <t>TC_019</t>
  </si>
  <si>
    <t xml:space="preserve">Apply Leave with past date</t>
  </si>
  <si>
    <t xml:space="preserve">1. Select Leave Type: Annual Leave
2. Set From Date as past date
3. Click Apply</t>
  </si>
  <si>
    <t xml:space="preserve">From Date: 01/01/2024</t>
  </si>
  <si>
    <t xml:space="preserve">Error: cannot apply leave for past dates</t>
  </si>
  <si>
    <t xml:space="preserve">Leave submitted without any validation — past date accepted</t>
  </si>
  <si>
    <t>Fail</t>
  </si>
  <si>
    <t xml:space="preserve">Bug: BG_001</t>
  </si>
  <si>
    <t>TC_020</t>
  </si>
  <si>
    <t xml:space="preserve">Apply Leave with From Date after To Date</t>
  </si>
  <si>
    <t xml:space="preserve">1. Select Leave Type: Annual Leave
2. Set From Date later than To Date
3. Click Apply</t>
  </si>
  <si>
    <t xml:space="preserve">From Date: 12/31/2026
To Date: 12/01/2026</t>
  </si>
  <si>
    <t xml:space="preserve">Error: From Date cannot be after To Date</t>
  </si>
  <si>
    <t xml:space="preserve">Validation error displayed: "To date should be after from date"</t>
  </si>
  <si>
    <t>TC_021</t>
  </si>
  <si>
    <t xml:space="preserve">Apply Leave with same From and To Date</t>
  </si>
  <si>
    <t xml:space="preserve">1. Select Leave Type
2. Set same date for From and To
3. Click Apply</t>
  </si>
  <si>
    <t xml:space="preserve">From Date = To Date (future)</t>
  </si>
  <si>
    <t xml:space="preserve">Leave for 1 day submitted successfully</t>
  </si>
  <si>
    <t xml:space="preserve">Leave for 1 day submitted and appears in My Leave list</t>
  </si>
  <si>
    <t>TC_022</t>
  </si>
  <si>
    <t xml:space="preserve">My Leave list shows submitted leaves</t>
  </si>
  <si>
    <t xml:space="preserve">User has submitted at least one leave</t>
  </si>
  <si>
    <t xml:space="preserve">1. Go to Leave &gt; My Leave
2. Observe list</t>
  </si>
  <si>
    <t xml:space="preserve">All submitted leaves shown with correct status</t>
  </si>
  <si>
    <t xml:space="preserve">All submitted leaves visible with correct leave type, dates, and Pending status</t>
  </si>
  <si>
    <t>TC_023</t>
  </si>
  <si>
    <t xml:space="preserve">Leave Entitlement page loads</t>
  </si>
  <si>
    <t xml:space="preserve">1. Go to Leave &gt; Entitlements &gt; My Entitlements</t>
  </si>
  <si>
    <t xml:space="preserve">Entitlement list displayed</t>
  </si>
  <si>
    <t xml:space="preserve">Leave entitlement list displayed with leave type and balance</t>
  </si>
  <si>
    <t>Low</t>
  </si>
  <si>
    <t>TC_024</t>
  </si>
  <si>
    <t xml:space="preserve">Leave List filter by status</t>
  </si>
  <si>
    <t xml:space="preserve">Admin is on Leave &gt; Leave List</t>
  </si>
  <si>
    <t xml:space="preserve">1. Select Status: Pending
2. Click Search</t>
  </si>
  <si>
    <t xml:space="preserve">Status: Pending</t>
  </si>
  <si>
    <t xml:space="preserve">Only pending leaves are displayed</t>
  </si>
  <si>
    <t xml:space="preserve">Only leave requests with Pending status are displayed in the list</t>
  </si>
  <si>
    <t>TC_025</t>
  </si>
  <si>
    <t xml:space="preserve">Leave List filter by date range</t>
  </si>
  <si>
    <t xml:space="preserve">1. Enter From Date and To Date
2. Click Search</t>
  </si>
  <si>
    <t xml:space="preserve">Date range: current month</t>
  </si>
  <si>
    <t xml:space="preserve">Leaves within date range are displayed</t>
  </si>
  <si>
    <t xml:space="preserve">Leave requests within the specified date range displayed correctly</t>
  </si>
  <si>
    <t>TC_026</t>
  </si>
  <si>
    <t xml:space="preserve">Cancel a pending leave request</t>
  </si>
  <si>
    <t xml:space="preserve">User has a pending leave request</t>
  </si>
  <si>
    <t xml:space="preserve">1. Go to Leave &gt; My Leave
2. Click on a Pending leave
3. Click Cancel</t>
  </si>
  <si>
    <t xml:space="preserve">Leave status changes to Cancelled</t>
  </si>
  <si>
    <t xml:space="preserve">Leave status updated to Cancelled successfully</t>
  </si>
  <si>
    <t>TC_027</t>
  </si>
  <si>
    <t xml:space="preserve">Leave balance decreases after approval</t>
  </si>
  <si>
    <t xml:space="preserve">Admin approves a leave request</t>
  </si>
  <si>
    <t xml:space="preserve">1. Go to Leave &gt; Leave List
2. Select a Pending leave
3. Click Approve</t>
  </si>
  <si>
    <t xml:space="preserve">Leave status changes to Approved; balance decreases</t>
  </si>
  <si>
    <t xml:space="preserve">Leave status updated to Approved and employee leave balance updated accordingly</t>
  </si>
  <si>
    <t>TC_028</t>
  </si>
  <si>
    <t>PIM</t>
  </si>
  <si>
    <t xml:space="preserve">Search Employee by name</t>
  </si>
  <si>
    <t xml:space="preserve">Navigate to PIM &gt; Employee List</t>
  </si>
  <si>
    <t xml:space="preserve">1. Enter Employee Name: Admin
2. Click Search</t>
  </si>
  <si>
    <t xml:space="preserve">Employee Name: Admin</t>
  </si>
  <si>
    <t xml:space="preserve">Matching employee records displayed</t>
  </si>
  <si>
    <t xml:space="preserve">Matching employee records displayed in the list correctly</t>
  </si>
  <si>
    <t>TC_029</t>
  </si>
  <si>
    <t xml:space="preserve">Search Employee with empty fields</t>
  </si>
  <si>
    <t xml:space="preserve">1. Clear all fields
2. Click Search</t>
  </si>
  <si>
    <t xml:space="preserve">All fields: empty</t>
  </si>
  <si>
    <t xml:space="preserve">All employees listed</t>
  </si>
  <si>
    <t xml:space="preserve">All employee records displayed without any filter</t>
  </si>
  <si>
    <t>TC_030</t>
  </si>
  <si>
    <t xml:space="preserve">Search Employee with invalid name</t>
  </si>
  <si>
    <t xml:space="preserve">1. Enter Employee Name: xyzinvalid
2. Click Search</t>
  </si>
  <si>
    <t xml:space="preserve">Employee Name: xyzinvalid</t>
  </si>
  <si>
    <t xml:space="preserve">"No Records Found" shown</t>
  </si>
  <si>
    <t xml:space="preserve">"No Records Found" message displayed in the list</t>
  </si>
  <si>
    <t>TC_031</t>
  </si>
  <si>
    <t xml:space="preserve">Search Employee by Employee ID</t>
  </si>
  <si>
    <t xml:space="preserve">1. Enter Employee ID: 0001
2. Click Search</t>
  </si>
  <si>
    <t xml:space="preserve">Employee ID: 0001</t>
  </si>
  <si>
    <t xml:space="preserve">Matching employee displayed</t>
  </si>
  <si>
    <t xml:space="preserve">Employee with matching ID displayed in results</t>
  </si>
  <si>
    <t>TC_032</t>
  </si>
  <si>
    <t xml:space="preserve">Add New Employee with required fields</t>
  </si>
  <si>
    <t xml:space="preserve">Navigate to PIM &gt; Add Employee</t>
  </si>
  <si>
    <t xml:space="preserve">1. Enter First Name: Test
2. Enter Last Name: User
3. Click Save</t>
  </si>
  <si>
    <t xml:space="preserve">First Name: Test
Last Name: User</t>
  </si>
  <si>
    <t xml:space="preserve">Employee saved; redirected to profile</t>
  </si>
  <si>
    <t xml:space="preserve">New employee saved and redirected to employee profile page</t>
  </si>
  <si>
    <t>TC_033</t>
  </si>
  <si>
    <t xml:space="preserve">Add New Employee without First Name</t>
  </si>
  <si>
    <t xml:space="preserve">1. Leave First Name blank
2. Enter Last Name: User
3. Click Save</t>
  </si>
  <si>
    <t xml:space="preserve">First Name: (empty)</t>
  </si>
  <si>
    <t xml:space="preserve">Validation error shown</t>
  </si>
  <si>
    <t xml:space="preserve">Validation error "Required" displayed below First Name field</t>
  </si>
  <si>
    <t>TC_034</t>
  </si>
  <si>
    <t xml:space="preserve">Add New Employee without Last Name</t>
  </si>
  <si>
    <t xml:space="preserve">1. Enter First Name: Test
2. Leave Last Name blank
3. Click Save</t>
  </si>
  <si>
    <t xml:space="preserve">Last Name: (empty)</t>
  </si>
  <si>
    <t xml:space="preserve">Validation error "Required" displayed below Last Name field</t>
  </si>
  <si>
    <t>TC_035</t>
  </si>
  <si>
    <t xml:space="preserve">Employee profile photo upload</t>
  </si>
  <si>
    <t xml:space="preserve">Navigate to an employee profile</t>
  </si>
  <si>
    <t xml:space="preserve">1. Click on profile photo area
2. Upload a valid JPG image
3. Save</t>
  </si>
  <si>
    <t xml:space="preserve">Image: valid JPG &lt; 1MB</t>
  </si>
  <si>
    <t xml:space="preserve">Photo uploaded and displayed on profile</t>
  </si>
  <si>
    <t xml:space="preserve">Photo uploaded successfully and displayed on the employee profile</t>
  </si>
  <si>
    <t>TC_036</t>
  </si>
  <si>
    <t xml:space="preserve">Edit employee personal details</t>
  </si>
  <si>
    <t xml:space="preserve">Navigate to employee profile &gt; Personal Details</t>
  </si>
  <si>
    <t xml:space="preserve">1. Change Middle Name
2. Click Save</t>
  </si>
  <si>
    <t xml:space="preserve">Middle Name: Updated</t>
  </si>
  <si>
    <t xml:space="preserve">Changes saved successfully</t>
  </si>
  <si>
    <t xml:space="preserve">Personal details updated and saved successfully</t>
  </si>
  <si>
    <t>TC_037</t>
  </si>
  <si>
    <t xml:space="preserve">Delete an employee</t>
  </si>
  <si>
    <t xml:space="preserve">Admin is on PIM &gt; Employee List</t>
  </si>
  <si>
    <t xml:space="preserve">1. Select an employee checkbox
2. Click Delete
3. Confirm deletion</t>
  </si>
  <si>
    <t xml:space="preserve">Employee deleted from the list</t>
  </si>
  <si>
    <t xml:space="preserve">Employee removed from the list after confirmation</t>
  </si>
  <si>
    <t>TC_038</t>
  </si>
  <si>
    <t>Admin</t>
  </si>
  <si>
    <t xml:space="preserve">Admin User Management page loads</t>
  </si>
  <si>
    <t xml:space="preserve">User logged in as Admin</t>
  </si>
  <si>
    <t xml:space="preserve">1. Go to Admin &gt; User Management &gt; Users</t>
  </si>
  <si>
    <t xml:space="preserve">User list page loads with all users</t>
  </si>
  <si>
    <t xml:space="preserve">User Management page loads showing list of system users</t>
  </si>
  <si>
    <t>TC_039</t>
  </si>
  <si>
    <t xml:space="preserve">Search user by username</t>
  </si>
  <si>
    <t xml:space="preserve">Admin is on User Management page</t>
  </si>
  <si>
    <t xml:space="preserve">1. Enter Username: Admin
2. Click Search</t>
  </si>
  <si>
    <t xml:space="preserve">Matching user displayed</t>
  </si>
  <si>
    <t xml:space="preserve">Admin user record displayed in search results</t>
  </si>
  <si>
    <t>TC_040</t>
  </si>
  <si>
    <t xml:space="preserve">Add new system user with valid data</t>
  </si>
  <si>
    <t xml:space="preserve">Admin is on Add User page</t>
  </si>
  <si>
    <t xml:space="preserve">1. Select User Role: Admin
2. Select Employee Name
3. Set Status: Enabled
4. Enter Username: testuser01
5. Enter Password &amp; Confirm
6. Click Save</t>
  </si>
  <si>
    <t xml:space="preserve">Username: testuser01
Password: Test@1234</t>
  </si>
  <si>
    <t xml:space="preserve">New user created successfully</t>
  </si>
  <si>
    <t xml:space="preserve">New system user created and visible in User Management list</t>
  </si>
  <si>
    <t>TC_041</t>
  </si>
  <si>
    <t xml:space="preserve">Add user with duplicate username</t>
  </si>
  <si>
    <t xml:space="preserve">1. Enter existing Username: Admin
2. Fill other fields
3. Click Save</t>
  </si>
  <si>
    <t xml:space="preserve">Username: Admin (duplicate)</t>
  </si>
  <si>
    <t xml:space="preserve">Error: username already exists</t>
  </si>
  <si>
    <t xml:space="preserve">Error message "Already exists" displayed for duplicate username</t>
  </si>
  <si>
    <t>TC_042</t>
  </si>
  <si>
    <t xml:space="preserve">Add user with mismatched passwords</t>
  </si>
  <si>
    <t xml:space="preserve">1. Enter Password: Test@1234
2. Enter Confirm Password: Test@5678
3. Click Save</t>
  </si>
  <si>
    <t xml:space="preserve">Password: Test@1234
Confirm: Test@5678</t>
  </si>
  <si>
    <t xml:space="preserve">Error: passwords do not match</t>
  </si>
  <si>
    <t xml:space="preserve">Error message "Passwords do not match" displayed</t>
  </si>
  <si>
    <t>TC_043</t>
  </si>
  <si>
    <t xml:space="preserve">Disable a system user</t>
  </si>
  <si>
    <t xml:space="preserve">1. Find a user
2. Click Edit
3. Change Status to Disabled
4. Save</t>
  </si>
  <si>
    <t xml:space="preserve">Status: Disabled</t>
  </si>
  <si>
    <t xml:space="preserve">User status updated to Disabled</t>
  </si>
  <si>
    <t xml:space="preserve">User status updated to Disabled and saved successfully</t>
  </si>
  <si>
    <t>TC_044</t>
  </si>
  <si>
    <t>Recruitment</t>
  </si>
  <si>
    <t xml:space="preserve">Recruitment module loads</t>
  </si>
  <si>
    <t xml:space="preserve">User logged in</t>
  </si>
  <si>
    <t xml:space="preserve">1. Click Recruitment in top nav</t>
  </si>
  <si>
    <t xml:space="preserve">Recruitment page loads showing Candidates list</t>
  </si>
  <si>
    <t xml:space="preserve">Recruitment module loads with Candidates list page</t>
  </si>
  <si>
    <t>TC_045</t>
  </si>
  <si>
    <t xml:space="preserve">Add Job Vacancy with valid data</t>
  </si>
  <si>
    <t xml:space="preserve">Navigate to Recruitment &gt; Vacancies</t>
  </si>
  <si>
    <t xml:space="preserve">1. Click Add
2. Fill Vacancy Name, Job Title, Hiring Manager
3. Click Save</t>
  </si>
  <si>
    <t xml:space="preserve">Vacancy Name: QA Engineer</t>
  </si>
  <si>
    <t xml:space="preserve">Vacancy saved successfully</t>
  </si>
  <si>
    <t xml:space="preserve">Job vacancy saved and visible in the Vacancies list</t>
  </si>
  <si>
    <t>TC_046</t>
  </si>
  <si>
    <t xml:space="preserve">Search Vacancy by job title</t>
  </si>
  <si>
    <t xml:space="preserve">1. Enter Job Title in search
2. Click Search</t>
  </si>
  <si>
    <t xml:space="preserve">Job Title: QA Engineer</t>
  </si>
  <si>
    <t xml:space="preserve">Matching vacancies displayed</t>
  </si>
  <si>
    <t xml:space="preserve">Matching vacancy records displayed in results</t>
  </si>
  <si>
    <t>TC_047</t>
  </si>
  <si>
    <t xml:space="preserve">Add Candidate with valid data</t>
  </si>
  <si>
    <t xml:space="preserve">Navigate to Recruitment &gt; Candidates &gt; Add</t>
  </si>
  <si>
    <t xml:space="preserve">1. Enter First Name, Last Name
2. Select Vacancy
3. Enter Email
4. Click Save</t>
  </si>
  <si>
    <t xml:space="preserve">Name: John Doe
Email: john@test.com</t>
  </si>
  <si>
    <t xml:space="preserve">Candidate saved successfully</t>
  </si>
  <si>
    <t xml:space="preserve">Candidate saved and visible in Candidates list</t>
  </si>
  <si>
    <t>TC_048</t>
  </si>
  <si>
    <t xml:space="preserve">My Info</t>
  </si>
  <si>
    <t xml:space="preserve">My Info page loads for logged-in user</t>
  </si>
  <si>
    <t xml:space="preserve">1. Click "My Info" in top nav</t>
  </si>
  <si>
    <t xml:space="preserve">My Info page loads with personal details</t>
  </si>
  <si>
    <t xml:space="preserve">My Info page loads showing personal details of logged-in user</t>
  </si>
  <si>
    <t>TC_049</t>
  </si>
  <si>
    <t xml:space="preserve">Update contact details</t>
  </si>
  <si>
    <t xml:space="preserve">User is on My Info &gt; Contact Details</t>
  </si>
  <si>
    <t xml:space="preserve">1. Enter Street 1: House 1, Road 2
2. Enter City: Dhaka
3. Click Save</t>
  </si>
  <si>
    <t xml:space="preserve">Street: House 1, Road 2
City: Dhaka</t>
  </si>
  <si>
    <t xml:space="preserve">Contact details updated successfully</t>
  </si>
  <si>
    <t xml:space="preserve">Contact details saved with success message displayed</t>
  </si>
  <si>
    <t>TC_050</t>
  </si>
  <si>
    <t>Logout</t>
  </si>
  <si>
    <t xml:space="preserve">User logout successfully</t>
  </si>
  <si>
    <t xml:space="preserve">1. Click user avatar (top right)
2. Click Logout</t>
  </si>
  <si>
    <t xml:space="preserve">User logged out; redirected to Login page</t>
  </si>
  <si>
    <t xml:space="preserve">User logged out successfully and redirected to Login page</t>
  </si>
  <si>
    <t xml:space="preserve">OrangeHRM – Bug Report</t>
  </si>
  <si>
    <t xml:space="preserve">Bug ID</t>
  </si>
  <si>
    <t xml:space="preserve">Test Case ID</t>
  </si>
  <si>
    <t xml:space="preserve">Bug Title</t>
  </si>
  <si>
    <t xml:space="preserve">Steps to Reproduce</t>
  </si>
  <si>
    <t>Severity</t>
  </si>
  <si>
    <t>BG_001</t>
  </si>
  <si>
    <t xml:space="preserve">Apply Leave accepts past dates without validation</t>
  </si>
  <si>
    <t xml:space="preserve">1. Login as Admin
2. Go to Leave &gt; Apply
3. Select Leave Type: Annual Leave
4. Set From Date: 01/01/2024 (past date)
5. Click Apply</t>
  </si>
  <si>
    <t xml:space="preserve">System should show error: "Cannot apply leave for past dates"</t>
  </si>
  <si>
    <t xml:space="preserve">Leave submitted successfully with no validation error</t>
  </si>
  <si>
    <t>Major</t>
  </si>
  <si>
    <t>Open</t>
  </si>
  <si>
    <t xml:space="preserve">Past date validation is missing</t>
  </si>
  <si>
    <t xml:space="preserve">Test Execution Summary</t>
  </si>
  <si>
    <t>Project</t>
  </si>
  <si>
    <t xml:space="preserve">OrangeHRM Demo</t>
  </si>
  <si>
    <t>URL</t>
  </si>
  <si>
    <t>https://opensource-demo.orangehrmlive.com</t>
  </si>
  <si>
    <t>Tester</t>
  </si>
  <si>
    <t xml:space="preserve">Mohammed Samir</t>
  </si>
  <si>
    <t xml:space="preserve">Test Date</t>
  </si>
  <si>
    <t xml:space="preserve">March 2026</t>
  </si>
  <si>
    <t>Browser</t>
  </si>
  <si>
    <t xml:space="preserve">Firefox (latest)</t>
  </si>
  <si>
    <t>Environment</t>
  </si>
  <si>
    <t>Staging</t>
  </si>
  <si>
    <t>Metric</t>
  </si>
  <si>
    <t>Count</t>
  </si>
  <si>
    <t xml:space="preserve">Total Test Cases</t>
  </si>
  <si>
    <t>Blocked</t>
  </si>
  <si>
    <t xml:space="preserve">Not Executed</t>
  </si>
  <si>
    <t xml:space="preserve">Total Bugs</t>
  </si>
  <si>
    <t xml:space="preserve">Pass Rate (%)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</si>
</sst>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Calibri"/>
    </font>
    <font>
      <sz val="10.000000"/>
      <name val="Arial"/>
    </font>
    <font>
      <b/>
      <sz val="14.000000"/>
      <color indexed="65"/>
      <name val="Arial"/>
    </font>
    <font>
      <i/>
      <sz val="9.000000"/>
      <color rgb="FF595959"/>
      <name val="Arial"/>
    </font>
    <font>
      <b/>
      <sz val="10.000000"/>
      <color indexed="65"/>
      <name val="Arial"/>
    </font>
    <font>
      <sz val="10.000000"/>
      <color rgb="FF212121"/>
      <name val="Arial"/>
    </font>
    <font>
      <b/>
      <sz val="10.000000"/>
      <color rgb="FF375623"/>
      <name val="Arial"/>
    </font>
    <font>
      <b/>
      <sz val="10.000000"/>
      <color rgb="FFC00000"/>
      <name val="Arial"/>
    </font>
    <font>
      <b/>
      <sz val="10.000000"/>
      <color rgb="FFED7D31"/>
      <name val="Arial"/>
    </font>
    <font>
      <b/>
      <sz val="10.000000"/>
      <color rgb="FF843C0C"/>
      <name val="Arial"/>
    </font>
    <font>
      <b/>
      <sz val="10.000000"/>
      <color rgb="FF70AD47"/>
      <name val="Arial"/>
    </font>
    <font>
      <b/>
      <sz val="10.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rgb="FFD6E4F0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5F9FF"/>
        <bgColor indexed="65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indexed="16"/>
      </patternFill>
    </fill>
    <fill>
      <patternFill patternType="solid">
        <fgColor indexed="65"/>
        <bgColor rgb="FFF5F9FF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CE4D6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1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center" vertical="center"/>
      <protection hidden="0" locked="1"/>
    </xf>
    <xf fontId="3" fillId="3" borderId="0" numFmtId="0" xfId="0" applyFont="1" applyFill="1" applyAlignment="1" applyProtection="0">
      <alignment horizontal="center" vertical="center"/>
      <protection hidden="0" locked="1"/>
    </xf>
    <xf fontId="4" fillId="2" borderId="1" numFmtId="0" xfId="0" applyFont="1" applyFill="1" applyBorder="1" applyAlignment="1" applyProtection="0">
      <alignment horizontal="center" vertical="center" wrapText="1"/>
      <protection hidden="0" locked="1"/>
    </xf>
    <xf fontId="5" fillId="0" borderId="1" numFmtId="0" xfId="0" applyFont="1" applyBorder="1" applyAlignment="1" applyProtection="0">
      <alignment horizontal="center" vertical="center" wrapText="1"/>
      <protection hidden="0" locked="1"/>
    </xf>
    <xf fontId="5" fillId="0" borderId="1" numFmtId="0" xfId="0" applyFont="1" applyBorder="1" applyAlignment="1" applyProtection="0">
      <alignment horizontal="left" vertical="center" wrapText="1"/>
      <protection hidden="0" locked="1"/>
    </xf>
    <xf fontId="6" fillId="4" borderId="1" numFmtId="0" xfId="0" applyFont="1" applyFill="1" applyBorder="1" applyAlignment="1" applyProtection="0">
      <alignment horizontal="center" vertical="center"/>
      <protection hidden="0" locked="1"/>
    </xf>
    <xf fontId="7" fillId="0" borderId="1" numFmtId="0" xfId="0" applyFont="1" applyBorder="1" applyAlignment="1" applyProtection="0">
      <alignment horizontal="center" vertical="center"/>
      <protection hidden="0" locked="1"/>
    </xf>
    <xf fontId="5" fillId="5" borderId="1" numFmtId="0" xfId="0" applyFont="1" applyFill="1" applyBorder="1" applyAlignment="1" applyProtection="0">
      <alignment horizontal="center" vertical="center" wrapText="1"/>
      <protection hidden="0" locked="1"/>
    </xf>
    <xf fontId="5" fillId="5" borderId="1" numFmtId="0" xfId="0" applyFont="1" applyFill="1" applyBorder="1" applyAlignment="1" applyProtection="0">
      <alignment horizontal="left" vertical="center" wrapText="1"/>
      <protection hidden="0" locked="1"/>
    </xf>
    <xf fontId="7" fillId="5" borderId="1" numFmtId="0" xfId="0" applyFont="1" applyFill="1" applyBorder="1" applyAlignment="1" applyProtection="0">
      <alignment horizontal="center" vertical="center"/>
      <protection hidden="0" locked="1"/>
    </xf>
    <xf fontId="8" fillId="5" borderId="1" numFmtId="0" xfId="0" applyFont="1" applyFill="1" applyBorder="1" applyAlignment="1" applyProtection="0">
      <alignment horizontal="center" vertical="center"/>
      <protection hidden="0" locked="1"/>
    </xf>
    <xf fontId="8" fillId="0" borderId="1" numFmtId="0" xfId="0" applyFont="1" applyBorder="1" applyAlignment="1" applyProtection="0">
      <alignment horizontal="center" vertical="center"/>
      <protection hidden="0" locked="1"/>
    </xf>
    <xf fontId="9" fillId="6" borderId="1" numFmtId="0" xfId="0" applyFont="1" applyFill="1" applyBorder="1" applyAlignment="1" applyProtection="0">
      <alignment horizontal="center" vertical="center"/>
      <protection hidden="0" locked="1"/>
    </xf>
    <xf fontId="10" fillId="0" borderId="1" numFmtId="0" xfId="0" applyFont="1" applyBorder="1" applyAlignment="1" applyProtection="0">
      <alignment horizontal="center" vertical="center"/>
      <protection hidden="0" locked="1"/>
    </xf>
    <xf fontId="10" fillId="5" borderId="1" numFmtId="0" xfId="0" applyFont="1" applyFill="1" applyBorder="1" applyAlignment="1" applyProtection="0">
      <alignment horizontal="center" vertical="center"/>
      <protection hidden="0" locked="1"/>
    </xf>
    <xf fontId="3" fillId="6" borderId="0" numFmtId="0" xfId="0" applyFont="1" applyFill="1" applyAlignment="1" applyProtection="0">
      <alignment horizontal="center" vertical="center"/>
      <protection hidden="0" locked="1"/>
    </xf>
    <xf fontId="4" fillId="7" borderId="1" numFmtId="0" xfId="0" applyFont="1" applyFill="1" applyBorder="1" applyAlignment="1" applyProtection="0">
      <alignment horizontal="center" vertical="center" wrapText="1"/>
      <protection hidden="0" locked="1"/>
    </xf>
    <xf fontId="11" fillId="6" borderId="1" numFmtId="0" xfId="0" applyFont="1" applyFill="1" applyBorder="1" applyAlignment="1" applyProtection="0">
      <alignment horizontal="center" vertical="center"/>
      <protection hidden="0" locked="1"/>
    </xf>
    <xf fontId="11" fillId="3" borderId="1" numFmtId="0" xfId="0" applyFont="1" applyFill="1" applyBorder="1" applyAlignment="1" applyProtection="0">
      <alignment vertical="center"/>
      <protection hidden="0" locked="1"/>
    </xf>
    <xf fontId="1" fillId="0" borderId="2" numFmtId="0" xfId="0" applyFont="1" applyBorder="1" applyAlignment="1" applyProtection="0">
      <alignment vertical="center"/>
      <protection hidden="0" locked="1"/>
    </xf>
    <xf fontId="4" fillId="2" borderId="1" numFmtId="0" xfId="0" applyFont="1" applyFill="1" applyBorder="1" applyAlignment="1" applyProtection="0">
      <alignment horizontal="center" vertical="center"/>
      <protection hidden="0" locked="1"/>
    </xf>
    <xf fontId="1" fillId="5" borderId="1" numFmtId="0" xfId="0" applyFont="1" applyFill="1" applyBorder="1" applyAlignment="1" applyProtection="0">
      <alignment vertical="center"/>
      <protection hidden="0" locked="1"/>
    </xf>
    <xf fontId="11" fillId="8" borderId="1" numFmtId="0" xfId="0" applyFont="1" applyFill="1" applyBorder="1" applyAlignment="1" applyProtection="0">
      <alignment horizontal="center" vertical="center"/>
      <protection hidden="0" locked="1"/>
    </xf>
    <xf fontId="11" fillId="4" borderId="1" numFmtId="0" xfId="0" applyFont="1" applyFill="1" applyBorder="1" applyAlignment="1" applyProtection="0">
      <alignment vertical="center"/>
      <protection hidden="0" locked="1"/>
    </xf>
    <xf fontId="11" fillId="4" borderId="1" numFmtId="0" xfId="0" applyFont="1" applyFill="1" applyBorder="1" applyAlignment="1" applyProtection="0">
      <alignment horizontal="center" vertical="center"/>
      <protection hidden="0" locked="1"/>
    </xf>
    <xf fontId="11" fillId="6" borderId="1" numFmtId="0" xfId="0" applyFont="1" applyFill="1" applyBorder="1" applyAlignment="1" applyProtection="0">
      <alignment vertical="center"/>
      <protection hidden="0" locked="1"/>
    </xf>
    <xf fontId="11" fillId="9" borderId="1" numFmtId="0" xfId="0" applyFont="1" applyFill="1" applyBorder="1" applyAlignment="1" applyProtection="0">
      <alignment vertical="center"/>
      <protection hidden="0" locked="1"/>
    </xf>
    <xf fontId="11" fillId="9" borderId="1" numFmtId="0" xfId="0" applyFont="1" applyFill="1" applyBorder="1" applyAlignment="1" applyProtection="0">
      <alignment horizontal="center" vertical="center"/>
      <protection hidden="0" locked="1"/>
    </xf>
    <xf fontId="11" fillId="10" borderId="1" numFmtId="0" xfId="0" applyFont="1" applyFill="1" applyBorder="1" applyAlignment="1" applyProtection="0">
      <alignment vertical="center"/>
      <protection hidden="0" locked="1"/>
    </xf>
    <xf fontId="11" fillId="10" borderId="1" numFmtId="0" xfId="0" applyFont="1" applyFill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3" topLeftCell="A4" activePane="bottomLeft" state="frozen"/>
      <selection activeCell="A1" activeCellId="0" sqref="A1"/>
    </sheetView>
  </sheetViews>
  <sheetFormatPr defaultColWidth="8.6796875" defaultRowHeight="14.25"/>
  <cols>
    <col customWidth="1" min="1" max="1" style="0" width="9"/>
    <col customWidth="1" min="2" max="2" style="0" width="13"/>
    <col customWidth="1" min="3" max="3" style="0" width="24"/>
    <col customWidth="1" min="4" max="4" style="0" width="20"/>
    <col customWidth="1" min="5" max="5" style="0" width="32"/>
    <col customWidth="1" min="6" max="6" style="0" width="18"/>
    <col customWidth="1" min="7" max="7" style="0" width="28"/>
    <col customWidth="1" min="8" max="8" style="0" width="30"/>
    <col customWidth="1" min="9" max="10" style="0" width="9"/>
    <col customWidth="1" min="11" max="11" style="0" width="15"/>
  </cols>
  <sheetData>
    <row r="1" ht="3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7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72" customHeight="1">
      <c r="A4" s="4" t="s">
        <v>13</v>
      </c>
      <c r="B4" s="4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6" t="s">
        <v>21</v>
      </c>
      <c r="J4" s="7" t="s">
        <v>22</v>
      </c>
      <c r="K4" s="5"/>
    </row>
    <row r="5" ht="72" customHeight="1">
      <c r="A5" s="8" t="s">
        <v>23</v>
      </c>
      <c r="B5" s="8" t="s">
        <v>14</v>
      </c>
      <c r="C5" s="9" t="s">
        <v>24</v>
      </c>
      <c r="D5" s="9" t="s">
        <v>16</v>
      </c>
      <c r="E5" s="9" t="s">
        <v>25</v>
      </c>
      <c r="F5" s="9" t="s">
        <v>26</v>
      </c>
      <c r="G5" s="9" t="s">
        <v>27</v>
      </c>
      <c r="H5" s="9" t="s">
        <v>28</v>
      </c>
      <c r="I5" s="6" t="s">
        <v>21</v>
      </c>
      <c r="J5" s="10" t="s">
        <v>22</v>
      </c>
      <c r="K5" s="9"/>
    </row>
    <row r="6" ht="72" customHeight="1">
      <c r="A6" s="4" t="s">
        <v>29</v>
      </c>
      <c r="B6" s="4" t="s">
        <v>14</v>
      </c>
      <c r="C6" s="5" t="s">
        <v>30</v>
      </c>
      <c r="D6" s="5" t="s">
        <v>16</v>
      </c>
      <c r="E6" s="5" t="s">
        <v>31</v>
      </c>
      <c r="F6" s="5" t="s">
        <v>32</v>
      </c>
      <c r="G6" s="5" t="s">
        <v>27</v>
      </c>
      <c r="H6" s="5" t="s">
        <v>28</v>
      </c>
      <c r="I6" s="6" t="s">
        <v>21</v>
      </c>
      <c r="J6" s="7" t="s">
        <v>22</v>
      </c>
      <c r="K6" s="5"/>
    </row>
    <row r="7" ht="72" customHeight="1">
      <c r="A7" s="8" t="s">
        <v>33</v>
      </c>
      <c r="B7" s="8" t="s">
        <v>14</v>
      </c>
      <c r="C7" s="9" t="s">
        <v>34</v>
      </c>
      <c r="D7" s="9" t="s">
        <v>16</v>
      </c>
      <c r="E7" s="9" t="s">
        <v>35</v>
      </c>
      <c r="F7" s="9" t="s">
        <v>36</v>
      </c>
      <c r="G7" s="9" t="s">
        <v>37</v>
      </c>
      <c r="H7" s="9" t="s">
        <v>38</v>
      </c>
      <c r="I7" s="6" t="s">
        <v>21</v>
      </c>
      <c r="J7" s="10" t="s">
        <v>22</v>
      </c>
      <c r="K7" s="9"/>
    </row>
    <row r="8" ht="72" customHeight="1">
      <c r="A8" s="4" t="s">
        <v>39</v>
      </c>
      <c r="B8" s="4" t="s">
        <v>14</v>
      </c>
      <c r="C8" s="5" t="s">
        <v>40</v>
      </c>
      <c r="D8" s="5" t="s">
        <v>16</v>
      </c>
      <c r="E8" s="5" t="s">
        <v>41</v>
      </c>
      <c r="F8" s="5" t="s">
        <v>42</v>
      </c>
      <c r="G8" s="5" t="s">
        <v>43</v>
      </c>
      <c r="H8" s="5" t="s">
        <v>44</v>
      </c>
      <c r="I8" s="6" t="s">
        <v>21</v>
      </c>
      <c r="J8" s="7" t="s">
        <v>22</v>
      </c>
      <c r="K8" s="5"/>
    </row>
    <row r="9" ht="72" customHeight="1">
      <c r="A9" s="8" t="s">
        <v>45</v>
      </c>
      <c r="B9" s="8" t="s">
        <v>14</v>
      </c>
      <c r="C9" s="9" t="s">
        <v>46</v>
      </c>
      <c r="D9" s="9" t="s">
        <v>16</v>
      </c>
      <c r="E9" s="9" t="s">
        <v>47</v>
      </c>
      <c r="F9" s="9" t="s">
        <v>48</v>
      </c>
      <c r="G9" s="9" t="s">
        <v>49</v>
      </c>
      <c r="H9" s="9" t="s">
        <v>50</v>
      </c>
      <c r="I9" s="6" t="s">
        <v>21</v>
      </c>
      <c r="J9" s="11" t="s">
        <v>51</v>
      </c>
      <c r="K9" s="9"/>
    </row>
    <row r="10" ht="72" customHeight="1">
      <c r="A10" s="4" t="s">
        <v>52</v>
      </c>
      <c r="B10" s="4" t="s">
        <v>14</v>
      </c>
      <c r="C10" s="5" t="s">
        <v>53</v>
      </c>
      <c r="D10" s="5" t="s">
        <v>16</v>
      </c>
      <c r="E10" s="5" t="s">
        <v>54</v>
      </c>
      <c r="F10" s="5" t="s">
        <v>55</v>
      </c>
      <c r="G10" s="5" t="s">
        <v>56</v>
      </c>
      <c r="H10" s="5" t="s">
        <v>57</v>
      </c>
      <c r="I10" s="6" t="s">
        <v>21</v>
      </c>
      <c r="J10" s="12" t="s">
        <v>51</v>
      </c>
      <c r="K10" s="5"/>
    </row>
    <row r="11" ht="72" customHeight="1">
      <c r="A11" s="8" t="s">
        <v>58</v>
      </c>
      <c r="B11" s="8" t="s">
        <v>14</v>
      </c>
      <c r="C11" s="9" t="s">
        <v>59</v>
      </c>
      <c r="D11" s="9" t="s">
        <v>16</v>
      </c>
      <c r="E11" s="9" t="s">
        <v>60</v>
      </c>
      <c r="F11" s="9" t="s">
        <v>61</v>
      </c>
      <c r="G11" s="9" t="s">
        <v>62</v>
      </c>
      <c r="H11" s="9" t="s">
        <v>63</v>
      </c>
      <c r="I11" s="6" t="s">
        <v>21</v>
      </c>
      <c r="J11" s="11" t="s">
        <v>51</v>
      </c>
      <c r="K11" s="9"/>
    </row>
    <row r="12" ht="72" customHeight="1">
      <c r="A12" s="4" t="s">
        <v>64</v>
      </c>
      <c r="B12" s="4" t="s">
        <v>14</v>
      </c>
      <c r="C12" s="5" t="s">
        <v>65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70</v>
      </c>
      <c r="I12" s="6" t="s">
        <v>21</v>
      </c>
      <c r="J12" s="12" t="s">
        <v>51</v>
      </c>
      <c r="K12" s="5"/>
    </row>
    <row r="13" ht="72" customHeight="1">
      <c r="A13" s="8" t="s">
        <v>71</v>
      </c>
      <c r="B13" s="8" t="s">
        <v>14</v>
      </c>
      <c r="C13" s="9" t="s">
        <v>72</v>
      </c>
      <c r="D13" s="9" t="s">
        <v>66</v>
      </c>
      <c r="E13" s="9" t="s">
        <v>73</v>
      </c>
      <c r="F13" s="9" t="s">
        <v>36</v>
      </c>
      <c r="G13" s="9" t="s">
        <v>74</v>
      </c>
      <c r="H13" s="9" t="s">
        <v>38</v>
      </c>
      <c r="I13" s="6" t="s">
        <v>21</v>
      </c>
      <c r="J13" s="11" t="s">
        <v>51</v>
      </c>
      <c r="K13" s="9"/>
    </row>
    <row r="14" ht="72" customHeight="1">
      <c r="A14" s="4" t="s">
        <v>75</v>
      </c>
      <c r="B14" s="4" t="s">
        <v>76</v>
      </c>
      <c r="C14" s="5" t="s">
        <v>77</v>
      </c>
      <c r="D14" s="5" t="s">
        <v>78</v>
      </c>
      <c r="E14" s="5" t="s">
        <v>79</v>
      </c>
      <c r="F14" s="5" t="s">
        <v>61</v>
      </c>
      <c r="G14" s="5" t="s">
        <v>80</v>
      </c>
      <c r="H14" s="5" t="s">
        <v>81</v>
      </c>
      <c r="I14" s="6" t="s">
        <v>21</v>
      </c>
      <c r="J14" s="7" t="s">
        <v>22</v>
      </c>
      <c r="K14" s="5"/>
    </row>
    <row r="15" ht="72" customHeight="1">
      <c r="A15" s="8" t="s">
        <v>82</v>
      </c>
      <c r="B15" s="8" t="s">
        <v>76</v>
      </c>
      <c r="C15" s="9" t="s">
        <v>83</v>
      </c>
      <c r="D15" s="9" t="s">
        <v>84</v>
      </c>
      <c r="E15" s="9" t="s">
        <v>85</v>
      </c>
      <c r="F15" s="9" t="s">
        <v>61</v>
      </c>
      <c r="G15" s="9" t="s">
        <v>86</v>
      </c>
      <c r="H15" s="9" t="s">
        <v>87</v>
      </c>
      <c r="I15" s="6" t="s">
        <v>21</v>
      </c>
      <c r="J15" s="11" t="s">
        <v>51</v>
      </c>
      <c r="K15" s="9"/>
    </row>
    <row r="16" ht="72" customHeight="1">
      <c r="A16" s="4" t="s">
        <v>88</v>
      </c>
      <c r="B16" s="4" t="s">
        <v>76</v>
      </c>
      <c r="C16" s="5" t="s">
        <v>89</v>
      </c>
      <c r="D16" s="5" t="s">
        <v>84</v>
      </c>
      <c r="E16" s="5" t="s">
        <v>90</v>
      </c>
      <c r="F16" s="5" t="s">
        <v>61</v>
      </c>
      <c r="G16" s="5" t="s">
        <v>91</v>
      </c>
      <c r="H16" s="5" t="s">
        <v>92</v>
      </c>
      <c r="I16" s="6" t="s">
        <v>21</v>
      </c>
      <c r="J16" s="12" t="s">
        <v>51</v>
      </c>
      <c r="K16" s="5"/>
    </row>
    <row r="17" ht="72" customHeight="1">
      <c r="A17" s="8" t="s">
        <v>93</v>
      </c>
      <c r="B17" s="8" t="s">
        <v>76</v>
      </c>
      <c r="C17" s="9" t="s">
        <v>94</v>
      </c>
      <c r="D17" s="9" t="s">
        <v>84</v>
      </c>
      <c r="E17" s="9" t="s">
        <v>95</v>
      </c>
      <c r="F17" s="9" t="s">
        <v>61</v>
      </c>
      <c r="G17" s="9" t="s">
        <v>96</v>
      </c>
      <c r="H17" s="9" t="s">
        <v>97</v>
      </c>
      <c r="I17" s="6" t="s">
        <v>21</v>
      </c>
      <c r="J17" s="10" t="s">
        <v>22</v>
      </c>
      <c r="K17" s="9"/>
    </row>
    <row r="18" ht="72" customHeight="1">
      <c r="A18" s="4" t="s">
        <v>98</v>
      </c>
      <c r="B18" s="4" t="s">
        <v>76</v>
      </c>
      <c r="C18" s="5" t="s">
        <v>99</v>
      </c>
      <c r="D18" s="5" t="s">
        <v>84</v>
      </c>
      <c r="E18" s="5" t="s">
        <v>100</v>
      </c>
      <c r="F18" s="5" t="s">
        <v>61</v>
      </c>
      <c r="G18" s="5" t="s">
        <v>101</v>
      </c>
      <c r="H18" s="5" t="s">
        <v>102</v>
      </c>
      <c r="I18" s="6" t="s">
        <v>21</v>
      </c>
      <c r="J18" s="7" t="s">
        <v>22</v>
      </c>
      <c r="K18" s="5"/>
    </row>
    <row r="19" ht="72" customHeight="1">
      <c r="A19" s="8" t="s">
        <v>103</v>
      </c>
      <c r="B19" s="8" t="s">
        <v>76</v>
      </c>
      <c r="C19" s="9" t="s">
        <v>104</v>
      </c>
      <c r="D19" s="9" t="s">
        <v>84</v>
      </c>
      <c r="E19" s="9" t="s">
        <v>105</v>
      </c>
      <c r="F19" s="9" t="s">
        <v>61</v>
      </c>
      <c r="G19" s="9" t="s">
        <v>106</v>
      </c>
      <c r="H19" s="9" t="s">
        <v>107</v>
      </c>
      <c r="I19" s="6" t="s">
        <v>21</v>
      </c>
      <c r="J19" s="10" t="s">
        <v>22</v>
      </c>
      <c r="K19" s="9"/>
    </row>
    <row r="20" ht="72" customHeight="1">
      <c r="A20" s="4" t="s">
        <v>108</v>
      </c>
      <c r="B20" s="4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  <c r="G20" s="5" t="s">
        <v>114</v>
      </c>
      <c r="H20" s="5" t="s">
        <v>115</v>
      </c>
      <c r="I20" s="6" t="s">
        <v>21</v>
      </c>
      <c r="J20" s="7" t="s">
        <v>22</v>
      </c>
      <c r="K20" s="5"/>
    </row>
    <row r="21" ht="72" customHeight="1">
      <c r="A21" s="8" t="s">
        <v>116</v>
      </c>
      <c r="B21" s="8" t="s">
        <v>109</v>
      </c>
      <c r="C21" s="9" t="s">
        <v>117</v>
      </c>
      <c r="D21" s="9" t="s">
        <v>118</v>
      </c>
      <c r="E21" s="9" t="s">
        <v>119</v>
      </c>
      <c r="F21" s="9" t="s">
        <v>120</v>
      </c>
      <c r="G21" s="9" t="s">
        <v>121</v>
      </c>
      <c r="H21" s="9" t="s">
        <v>122</v>
      </c>
      <c r="I21" s="6" t="s">
        <v>21</v>
      </c>
      <c r="J21" s="10" t="s">
        <v>22</v>
      </c>
      <c r="K21" s="9"/>
    </row>
    <row r="22" ht="72" customHeight="1">
      <c r="A22" s="4" t="s">
        <v>123</v>
      </c>
      <c r="B22" s="4" t="s">
        <v>109</v>
      </c>
      <c r="C22" s="5" t="s">
        <v>124</v>
      </c>
      <c r="D22" s="5" t="s">
        <v>118</v>
      </c>
      <c r="E22" s="5" t="s">
        <v>125</v>
      </c>
      <c r="F22" s="5" t="s">
        <v>126</v>
      </c>
      <c r="G22" s="5" t="s">
        <v>127</v>
      </c>
      <c r="H22" s="5" t="s">
        <v>128</v>
      </c>
      <c r="I22" s="13" t="s">
        <v>129</v>
      </c>
      <c r="J22" s="7" t="s">
        <v>22</v>
      </c>
      <c r="K22" s="5" t="s">
        <v>130</v>
      </c>
    </row>
    <row r="23" ht="72" customHeight="1">
      <c r="A23" s="8" t="s">
        <v>131</v>
      </c>
      <c r="B23" s="8" t="s">
        <v>109</v>
      </c>
      <c r="C23" s="9" t="s">
        <v>132</v>
      </c>
      <c r="D23" s="9" t="s">
        <v>118</v>
      </c>
      <c r="E23" s="9" t="s">
        <v>133</v>
      </c>
      <c r="F23" s="9" t="s">
        <v>134</v>
      </c>
      <c r="G23" s="9" t="s">
        <v>135</v>
      </c>
      <c r="H23" s="9" t="s">
        <v>136</v>
      </c>
      <c r="I23" s="6" t="s">
        <v>21</v>
      </c>
      <c r="J23" s="10" t="s">
        <v>22</v>
      </c>
      <c r="K23" s="9"/>
    </row>
    <row r="24" ht="72" customHeight="1">
      <c r="A24" s="4" t="s">
        <v>137</v>
      </c>
      <c r="B24" s="4" t="s">
        <v>109</v>
      </c>
      <c r="C24" s="5" t="s">
        <v>138</v>
      </c>
      <c r="D24" s="5" t="s">
        <v>118</v>
      </c>
      <c r="E24" s="5" t="s">
        <v>139</v>
      </c>
      <c r="F24" s="5" t="s">
        <v>140</v>
      </c>
      <c r="G24" s="5" t="s">
        <v>141</v>
      </c>
      <c r="H24" s="5" t="s">
        <v>142</v>
      </c>
      <c r="I24" s="6" t="s">
        <v>21</v>
      </c>
      <c r="J24" s="12" t="s">
        <v>51</v>
      </c>
      <c r="K24" s="5"/>
    </row>
    <row r="25" ht="72" customHeight="1">
      <c r="A25" s="8" t="s">
        <v>143</v>
      </c>
      <c r="B25" s="8" t="s">
        <v>109</v>
      </c>
      <c r="C25" s="9" t="s">
        <v>144</v>
      </c>
      <c r="D25" s="9" t="s">
        <v>145</v>
      </c>
      <c r="E25" s="9" t="s">
        <v>146</v>
      </c>
      <c r="F25" s="9" t="s">
        <v>61</v>
      </c>
      <c r="G25" s="9" t="s">
        <v>147</v>
      </c>
      <c r="H25" s="9" t="s">
        <v>148</v>
      </c>
      <c r="I25" s="6" t="s">
        <v>21</v>
      </c>
      <c r="J25" s="11" t="s">
        <v>51</v>
      </c>
      <c r="K25" s="9"/>
    </row>
    <row r="26" ht="72" customHeight="1">
      <c r="A26" s="4" t="s">
        <v>149</v>
      </c>
      <c r="B26" s="4" t="s">
        <v>109</v>
      </c>
      <c r="C26" s="5" t="s">
        <v>150</v>
      </c>
      <c r="D26" s="5" t="s">
        <v>78</v>
      </c>
      <c r="E26" s="5" t="s">
        <v>151</v>
      </c>
      <c r="F26" s="5" t="s">
        <v>61</v>
      </c>
      <c r="G26" s="5" t="s">
        <v>152</v>
      </c>
      <c r="H26" s="5" t="s">
        <v>153</v>
      </c>
      <c r="I26" s="6" t="s">
        <v>21</v>
      </c>
      <c r="J26" s="14" t="s">
        <v>154</v>
      </c>
      <c r="K26" s="5"/>
    </row>
    <row r="27" ht="72" customHeight="1">
      <c r="A27" s="8" t="s">
        <v>155</v>
      </c>
      <c r="B27" s="8" t="s">
        <v>109</v>
      </c>
      <c r="C27" s="9" t="s">
        <v>156</v>
      </c>
      <c r="D27" s="9" t="s">
        <v>157</v>
      </c>
      <c r="E27" s="9" t="s">
        <v>158</v>
      </c>
      <c r="F27" s="9" t="s">
        <v>159</v>
      </c>
      <c r="G27" s="9" t="s">
        <v>160</v>
      </c>
      <c r="H27" s="9" t="s">
        <v>161</v>
      </c>
      <c r="I27" s="6" t="s">
        <v>21</v>
      </c>
      <c r="J27" s="11" t="s">
        <v>51</v>
      </c>
      <c r="K27" s="9"/>
    </row>
    <row r="28" ht="72" customHeight="1">
      <c r="A28" s="4" t="s">
        <v>162</v>
      </c>
      <c r="B28" s="4" t="s">
        <v>109</v>
      </c>
      <c r="C28" s="5" t="s">
        <v>163</v>
      </c>
      <c r="D28" s="5" t="s">
        <v>157</v>
      </c>
      <c r="E28" s="5" t="s">
        <v>164</v>
      </c>
      <c r="F28" s="5" t="s">
        <v>165</v>
      </c>
      <c r="G28" s="5" t="s">
        <v>166</v>
      </c>
      <c r="H28" s="5" t="s">
        <v>167</v>
      </c>
      <c r="I28" s="6" t="s">
        <v>21</v>
      </c>
      <c r="J28" s="12" t="s">
        <v>51</v>
      </c>
      <c r="K28" s="5"/>
    </row>
    <row r="29" ht="72" customHeight="1">
      <c r="A29" s="8" t="s">
        <v>168</v>
      </c>
      <c r="B29" s="8" t="s">
        <v>109</v>
      </c>
      <c r="C29" s="9" t="s">
        <v>169</v>
      </c>
      <c r="D29" s="9" t="s">
        <v>170</v>
      </c>
      <c r="E29" s="9" t="s">
        <v>171</v>
      </c>
      <c r="F29" s="9" t="s">
        <v>61</v>
      </c>
      <c r="G29" s="9" t="s">
        <v>172</v>
      </c>
      <c r="H29" s="9" t="s">
        <v>173</v>
      </c>
      <c r="I29" s="6" t="s">
        <v>21</v>
      </c>
      <c r="J29" s="11" t="s">
        <v>51</v>
      </c>
      <c r="K29" s="9"/>
    </row>
    <row r="30" ht="72" customHeight="1">
      <c r="A30" s="4" t="s">
        <v>174</v>
      </c>
      <c r="B30" s="4" t="s">
        <v>109</v>
      </c>
      <c r="C30" s="5" t="s">
        <v>175</v>
      </c>
      <c r="D30" s="5" t="s">
        <v>176</v>
      </c>
      <c r="E30" s="5" t="s">
        <v>177</v>
      </c>
      <c r="F30" s="5" t="s">
        <v>61</v>
      </c>
      <c r="G30" s="5" t="s">
        <v>178</v>
      </c>
      <c r="H30" s="5" t="s">
        <v>179</v>
      </c>
      <c r="I30" s="6" t="s">
        <v>21</v>
      </c>
      <c r="J30" s="7" t="s">
        <v>22</v>
      </c>
      <c r="K30" s="5"/>
    </row>
    <row r="31" ht="72" customHeight="1">
      <c r="A31" s="8" t="s">
        <v>180</v>
      </c>
      <c r="B31" s="8" t="s">
        <v>181</v>
      </c>
      <c r="C31" s="9" t="s">
        <v>182</v>
      </c>
      <c r="D31" s="9" t="s">
        <v>183</v>
      </c>
      <c r="E31" s="9" t="s">
        <v>184</v>
      </c>
      <c r="F31" s="9" t="s">
        <v>185</v>
      </c>
      <c r="G31" s="9" t="s">
        <v>186</v>
      </c>
      <c r="H31" s="9" t="s">
        <v>187</v>
      </c>
      <c r="I31" s="6" t="s">
        <v>21</v>
      </c>
      <c r="J31" s="10" t="s">
        <v>22</v>
      </c>
      <c r="K31" s="9"/>
    </row>
    <row r="32" ht="72" customHeight="1">
      <c r="A32" s="4" t="s">
        <v>188</v>
      </c>
      <c r="B32" s="4" t="s">
        <v>181</v>
      </c>
      <c r="C32" s="5" t="s">
        <v>189</v>
      </c>
      <c r="D32" s="5" t="s">
        <v>183</v>
      </c>
      <c r="E32" s="5" t="s">
        <v>190</v>
      </c>
      <c r="F32" s="5" t="s">
        <v>191</v>
      </c>
      <c r="G32" s="5" t="s">
        <v>192</v>
      </c>
      <c r="H32" s="5" t="s">
        <v>193</v>
      </c>
      <c r="I32" s="6" t="s">
        <v>21</v>
      </c>
      <c r="J32" s="12" t="s">
        <v>51</v>
      </c>
      <c r="K32" s="5"/>
    </row>
    <row r="33" ht="72" customHeight="1">
      <c r="A33" s="8" t="s">
        <v>194</v>
      </c>
      <c r="B33" s="8" t="s">
        <v>181</v>
      </c>
      <c r="C33" s="9" t="s">
        <v>195</v>
      </c>
      <c r="D33" s="9" t="s">
        <v>183</v>
      </c>
      <c r="E33" s="9" t="s">
        <v>196</v>
      </c>
      <c r="F33" s="9" t="s">
        <v>197</v>
      </c>
      <c r="G33" s="9" t="s">
        <v>198</v>
      </c>
      <c r="H33" s="9" t="s">
        <v>199</v>
      </c>
      <c r="I33" s="6" t="s">
        <v>21</v>
      </c>
      <c r="J33" s="11" t="s">
        <v>51</v>
      </c>
      <c r="K33" s="9"/>
    </row>
    <row r="34" ht="72" customHeight="1">
      <c r="A34" s="4" t="s">
        <v>200</v>
      </c>
      <c r="B34" s="4" t="s">
        <v>181</v>
      </c>
      <c r="C34" s="5" t="s">
        <v>201</v>
      </c>
      <c r="D34" s="5" t="s">
        <v>183</v>
      </c>
      <c r="E34" s="5" t="s">
        <v>202</v>
      </c>
      <c r="F34" s="5" t="s">
        <v>203</v>
      </c>
      <c r="G34" s="5" t="s">
        <v>204</v>
      </c>
      <c r="H34" s="5" t="s">
        <v>205</v>
      </c>
      <c r="I34" s="6" t="s">
        <v>21</v>
      </c>
      <c r="J34" s="12" t="s">
        <v>51</v>
      </c>
      <c r="K34" s="5"/>
    </row>
    <row r="35" ht="72" customHeight="1">
      <c r="A35" s="8" t="s">
        <v>206</v>
      </c>
      <c r="B35" s="8" t="s">
        <v>181</v>
      </c>
      <c r="C35" s="9" t="s">
        <v>207</v>
      </c>
      <c r="D35" s="9" t="s">
        <v>208</v>
      </c>
      <c r="E35" s="9" t="s">
        <v>209</v>
      </c>
      <c r="F35" s="9" t="s">
        <v>210</v>
      </c>
      <c r="G35" s="9" t="s">
        <v>211</v>
      </c>
      <c r="H35" s="9" t="s">
        <v>212</v>
      </c>
      <c r="I35" s="6" t="s">
        <v>21</v>
      </c>
      <c r="J35" s="10" t="s">
        <v>22</v>
      </c>
      <c r="K35" s="9"/>
    </row>
    <row r="36" ht="72" customHeight="1">
      <c r="A36" s="4" t="s">
        <v>213</v>
      </c>
      <c r="B36" s="4" t="s">
        <v>181</v>
      </c>
      <c r="C36" s="5" t="s">
        <v>214</v>
      </c>
      <c r="D36" s="5" t="s">
        <v>208</v>
      </c>
      <c r="E36" s="5" t="s">
        <v>215</v>
      </c>
      <c r="F36" s="5" t="s">
        <v>216</v>
      </c>
      <c r="G36" s="5" t="s">
        <v>217</v>
      </c>
      <c r="H36" s="5" t="s">
        <v>218</v>
      </c>
      <c r="I36" s="6" t="s">
        <v>21</v>
      </c>
      <c r="J36" s="7" t="s">
        <v>22</v>
      </c>
      <c r="K36" s="5"/>
    </row>
    <row r="37" ht="72" customHeight="1">
      <c r="A37" s="8" t="s">
        <v>219</v>
      </c>
      <c r="B37" s="8" t="s">
        <v>181</v>
      </c>
      <c r="C37" s="9" t="s">
        <v>220</v>
      </c>
      <c r="D37" s="9" t="s">
        <v>208</v>
      </c>
      <c r="E37" s="9" t="s">
        <v>221</v>
      </c>
      <c r="F37" s="9" t="s">
        <v>222</v>
      </c>
      <c r="G37" s="9" t="s">
        <v>217</v>
      </c>
      <c r="H37" s="9" t="s">
        <v>223</v>
      </c>
      <c r="I37" s="6" t="s">
        <v>21</v>
      </c>
      <c r="J37" s="10" t="s">
        <v>22</v>
      </c>
      <c r="K37" s="9"/>
    </row>
    <row r="38" ht="72" customHeight="1">
      <c r="A38" s="4" t="s">
        <v>224</v>
      </c>
      <c r="B38" s="4" t="s">
        <v>181</v>
      </c>
      <c r="C38" s="5" t="s">
        <v>225</v>
      </c>
      <c r="D38" s="5" t="s">
        <v>226</v>
      </c>
      <c r="E38" s="5" t="s">
        <v>227</v>
      </c>
      <c r="F38" s="5" t="s">
        <v>228</v>
      </c>
      <c r="G38" s="5" t="s">
        <v>229</v>
      </c>
      <c r="H38" s="5" t="s">
        <v>230</v>
      </c>
      <c r="I38" s="6" t="s">
        <v>21</v>
      </c>
      <c r="J38" s="14" t="s">
        <v>154</v>
      </c>
      <c r="K38" s="5"/>
    </row>
    <row r="39" ht="72" customHeight="1">
      <c r="A39" s="8" t="s">
        <v>231</v>
      </c>
      <c r="B39" s="8" t="s">
        <v>181</v>
      </c>
      <c r="C39" s="9" t="s">
        <v>232</v>
      </c>
      <c r="D39" s="9" t="s">
        <v>233</v>
      </c>
      <c r="E39" s="9" t="s">
        <v>234</v>
      </c>
      <c r="F39" s="9" t="s">
        <v>235</v>
      </c>
      <c r="G39" s="9" t="s">
        <v>236</v>
      </c>
      <c r="H39" s="9" t="s">
        <v>237</v>
      </c>
      <c r="I39" s="6" t="s">
        <v>21</v>
      </c>
      <c r="J39" s="11" t="s">
        <v>51</v>
      </c>
      <c r="K39" s="9"/>
    </row>
    <row r="40" ht="72" customHeight="1">
      <c r="A40" s="4" t="s">
        <v>238</v>
      </c>
      <c r="B40" s="4" t="s">
        <v>181</v>
      </c>
      <c r="C40" s="5" t="s">
        <v>239</v>
      </c>
      <c r="D40" s="5" t="s">
        <v>240</v>
      </c>
      <c r="E40" s="5" t="s">
        <v>241</v>
      </c>
      <c r="F40" s="5" t="s">
        <v>61</v>
      </c>
      <c r="G40" s="5" t="s">
        <v>242</v>
      </c>
      <c r="H40" s="5" t="s">
        <v>243</v>
      </c>
      <c r="I40" s="6" t="s">
        <v>21</v>
      </c>
      <c r="J40" s="7" t="s">
        <v>22</v>
      </c>
      <c r="K40" s="5"/>
    </row>
    <row r="41" ht="72" customHeight="1">
      <c r="A41" s="8" t="s">
        <v>244</v>
      </c>
      <c r="B41" s="8" t="s">
        <v>245</v>
      </c>
      <c r="C41" s="9" t="s">
        <v>246</v>
      </c>
      <c r="D41" s="9" t="s">
        <v>247</v>
      </c>
      <c r="E41" s="9" t="s">
        <v>248</v>
      </c>
      <c r="F41" s="9" t="s">
        <v>61</v>
      </c>
      <c r="G41" s="9" t="s">
        <v>249</v>
      </c>
      <c r="H41" s="9" t="s">
        <v>250</v>
      </c>
      <c r="I41" s="6" t="s">
        <v>21</v>
      </c>
      <c r="J41" s="10" t="s">
        <v>22</v>
      </c>
      <c r="K41" s="9"/>
    </row>
    <row r="42" ht="72" customHeight="1">
      <c r="A42" s="4" t="s">
        <v>251</v>
      </c>
      <c r="B42" s="4" t="s">
        <v>245</v>
      </c>
      <c r="C42" s="5" t="s">
        <v>252</v>
      </c>
      <c r="D42" s="5" t="s">
        <v>253</v>
      </c>
      <c r="E42" s="5" t="s">
        <v>254</v>
      </c>
      <c r="F42" s="5" t="s">
        <v>68</v>
      </c>
      <c r="G42" s="5" t="s">
        <v>255</v>
      </c>
      <c r="H42" s="5" t="s">
        <v>256</v>
      </c>
      <c r="I42" s="6" t="s">
        <v>21</v>
      </c>
      <c r="J42" s="12" t="s">
        <v>51</v>
      </c>
      <c r="K42" s="5"/>
    </row>
    <row r="43" ht="72" customHeight="1">
      <c r="A43" s="8" t="s">
        <v>257</v>
      </c>
      <c r="B43" s="8" t="s">
        <v>245</v>
      </c>
      <c r="C43" s="9" t="s">
        <v>258</v>
      </c>
      <c r="D43" s="9" t="s">
        <v>259</v>
      </c>
      <c r="E43" s="9" t="s">
        <v>260</v>
      </c>
      <c r="F43" s="9" t="s">
        <v>261</v>
      </c>
      <c r="G43" s="9" t="s">
        <v>262</v>
      </c>
      <c r="H43" s="9" t="s">
        <v>263</v>
      </c>
      <c r="I43" s="6" t="s">
        <v>21</v>
      </c>
      <c r="J43" s="10" t="s">
        <v>22</v>
      </c>
      <c r="K43" s="9"/>
    </row>
    <row r="44" ht="72" customHeight="1">
      <c r="A44" s="4" t="s">
        <v>264</v>
      </c>
      <c r="B44" s="4" t="s">
        <v>245</v>
      </c>
      <c r="C44" s="5" t="s">
        <v>265</v>
      </c>
      <c r="D44" s="5" t="s">
        <v>259</v>
      </c>
      <c r="E44" s="5" t="s">
        <v>266</v>
      </c>
      <c r="F44" s="5" t="s">
        <v>267</v>
      </c>
      <c r="G44" s="5" t="s">
        <v>268</v>
      </c>
      <c r="H44" s="5" t="s">
        <v>269</v>
      </c>
      <c r="I44" s="6" t="s">
        <v>21</v>
      </c>
      <c r="J44" s="7" t="s">
        <v>22</v>
      </c>
      <c r="K44" s="5"/>
    </row>
    <row r="45" ht="72" customHeight="1">
      <c r="A45" s="8" t="s">
        <v>270</v>
      </c>
      <c r="B45" s="8" t="s">
        <v>245</v>
      </c>
      <c r="C45" s="9" t="s">
        <v>271</v>
      </c>
      <c r="D45" s="9" t="s">
        <v>259</v>
      </c>
      <c r="E45" s="9" t="s">
        <v>272</v>
      </c>
      <c r="F45" s="9" t="s">
        <v>273</v>
      </c>
      <c r="G45" s="9" t="s">
        <v>274</v>
      </c>
      <c r="H45" s="9" t="s">
        <v>275</v>
      </c>
      <c r="I45" s="6" t="s">
        <v>21</v>
      </c>
      <c r="J45" s="10" t="s">
        <v>22</v>
      </c>
      <c r="K45" s="9"/>
    </row>
    <row r="46" ht="72" customHeight="1">
      <c r="A46" s="4" t="s">
        <v>276</v>
      </c>
      <c r="B46" s="4" t="s">
        <v>245</v>
      </c>
      <c r="C46" s="5" t="s">
        <v>277</v>
      </c>
      <c r="D46" s="5" t="s">
        <v>253</v>
      </c>
      <c r="E46" s="5" t="s">
        <v>278</v>
      </c>
      <c r="F46" s="5" t="s">
        <v>279</v>
      </c>
      <c r="G46" s="5" t="s">
        <v>280</v>
      </c>
      <c r="H46" s="5" t="s">
        <v>281</v>
      </c>
      <c r="I46" s="6" t="s">
        <v>21</v>
      </c>
      <c r="J46" s="12" t="s">
        <v>51</v>
      </c>
      <c r="K46" s="5"/>
    </row>
    <row r="47" ht="72" customHeight="1">
      <c r="A47" s="8" t="s">
        <v>282</v>
      </c>
      <c r="B47" s="8" t="s">
        <v>283</v>
      </c>
      <c r="C47" s="9" t="s">
        <v>284</v>
      </c>
      <c r="D47" s="9" t="s">
        <v>285</v>
      </c>
      <c r="E47" s="9" t="s">
        <v>286</v>
      </c>
      <c r="F47" s="9" t="s">
        <v>61</v>
      </c>
      <c r="G47" s="9" t="s">
        <v>287</v>
      </c>
      <c r="H47" s="9" t="s">
        <v>288</v>
      </c>
      <c r="I47" s="6" t="s">
        <v>21</v>
      </c>
      <c r="J47" s="11" t="s">
        <v>51</v>
      </c>
      <c r="K47" s="9"/>
    </row>
    <row r="48" ht="72" customHeight="1">
      <c r="A48" s="4" t="s">
        <v>289</v>
      </c>
      <c r="B48" s="4" t="s">
        <v>283</v>
      </c>
      <c r="C48" s="5" t="s">
        <v>290</v>
      </c>
      <c r="D48" s="5" t="s">
        <v>291</v>
      </c>
      <c r="E48" s="5" t="s">
        <v>292</v>
      </c>
      <c r="F48" s="5" t="s">
        <v>293</v>
      </c>
      <c r="G48" s="5" t="s">
        <v>294</v>
      </c>
      <c r="H48" s="5" t="s">
        <v>295</v>
      </c>
      <c r="I48" s="6" t="s">
        <v>21</v>
      </c>
      <c r="J48" s="12" t="s">
        <v>51</v>
      </c>
      <c r="K48" s="5"/>
    </row>
    <row r="49" ht="72" customHeight="1">
      <c r="A49" s="8" t="s">
        <v>296</v>
      </c>
      <c r="B49" s="8" t="s">
        <v>283</v>
      </c>
      <c r="C49" s="9" t="s">
        <v>297</v>
      </c>
      <c r="D49" s="9" t="s">
        <v>291</v>
      </c>
      <c r="E49" s="9" t="s">
        <v>298</v>
      </c>
      <c r="F49" s="9" t="s">
        <v>299</v>
      </c>
      <c r="G49" s="9" t="s">
        <v>300</v>
      </c>
      <c r="H49" s="9" t="s">
        <v>301</v>
      </c>
      <c r="I49" s="6" t="s">
        <v>21</v>
      </c>
      <c r="J49" s="15" t="s">
        <v>154</v>
      </c>
      <c r="K49" s="9"/>
    </row>
    <row r="50" ht="72" customHeight="1">
      <c r="A50" s="4" t="s">
        <v>302</v>
      </c>
      <c r="B50" s="4" t="s">
        <v>283</v>
      </c>
      <c r="C50" s="5" t="s">
        <v>303</v>
      </c>
      <c r="D50" s="5" t="s">
        <v>304</v>
      </c>
      <c r="E50" s="5" t="s">
        <v>305</v>
      </c>
      <c r="F50" s="5" t="s">
        <v>306</v>
      </c>
      <c r="G50" s="5" t="s">
        <v>307</v>
      </c>
      <c r="H50" s="5" t="s">
        <v>308</v>
      </c>
      <c r="I50" s="6" t="s">
        <v>21</v>
      </c>
      <c r="J50" s="12" t="s">
        <v>51</v>
      </c>
      <c r="K50" s="5"/>
    </row>
    <row r="51" ht="72" customHeight="1">
      <c r="A51" s="8" t="s">
        <v>309</v>
      </c>
      <c r="B51" s="8" t="s">
        <v>310</v>
      </c>
      <c r="C51" s="9" t="s">
        <v>311</v>
      </c>
      <c r="D51" s="9" t="s">
        <v>78</v>
      </c>
      <c r="E51" s="9" t="s">
        <v>312</v>
      </c>
      <c r="F51" s="9" t="s">
        <v>61</v>
      </c>
      <c r="G51" s="9" t="s">
        <v>313</v>
      </c>
      <c r="H51" s="9" t="s">
        <v>314</v>
      </c>
      <c r="I51" s="6" t="s">
        <v>21</v>
      </c>
      <c r="J51" s="11" t="s">
        <v>51</v>
      </c>
      <c r="K51" s="9"/>
    </row>
    <row r="52" ht="72" customHeight="1">
      <c r="A52" s="4" t="s">
        <v>315</v>
      </c>
      <c r="B52" s="4" t="s">
        <v>310</v>
      </c>
      <c r="C52" s="5" t="s">
        <v>316</v>
      </c>
      <c r="D52" s="5" t="s">
        <v>317</v>
      </c>
      <c r="E52" s="5" t="s">
        <v>318</v>
      </c>
      <c r="F52" s="5" t="s">
        <v>319</v>
      </c>
      <c r="G52" s="5" t="s">
        <v>320</v>
      </c>
      <c r="H52" s="5" t="s">
        <v>321</v>
      </c>
      <c r="I52" s="6" t="s">
        <v>21</v>
      </c>
      <c r="J52" s="14" t="s">
        <v>154</v>
      </c>
      <c r="K52" s="5"/>
    </row>
    <row r="53" ht="72" customHeight="1">
      <c r="A53" s="8" t="s">
        <v>322</v>
      </c>
      <c r="B53" s="8" t="s">
        <v>323</v>
      </c>
      <c r="C53" s="9" t="s">
        <v>324</v>
      </c>
      <c r="D53" s="9" t="s">
        <v>78</v>
      </c>
      <c r="E53" s="9" t="s">
        <v>325</v>
      </c>
      <c r="F53" s="9" t="s">
        <v>61</v>
      </c>
      <c r="G53" s="9" t="s">
        <v>326</v>
      </c>
      <c r="H53" s="9" t="s">
        <v>327</v>
      </c>
      <c r="I53" s="6" t="s">
        <v>21</v>
      </c>
      <c r="J53" s="10" t="s">
        <v>22</v>
      </c>
      <c r="K53" s="9"/>
    </row>
  </sheetData>
  <mergeCells count="2">
    <mergeCell ref="A1:K1"/>
    <mergeCell ref="A2:K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3" topLeftCell="A4" activePane="bottomLeft" state="frozen"/>
      <selection activeCell="A1" activeCellId="0" sqref="A1"/>
    </sheetView>
  </sheetViews>
  <sheetFormatPr defaultColWidth="8.6796875" defaultRowHeight="15"/>
  <cols>
    <col customWidth="1" min="1" max="1" style="0" width="9"/>
    <col customWidth="1" min="2" max="2" style="0" width="11"/>
    <col customWidth="1" min="3" max="3" style="0" width="10"/>
    <col customWidth="1" min="4" max="4" style="0" width="28"/>
    <col customWidth="1" min="5" max="5" style="0" width="32"/>
    <col customWidth="1" min="6" max="7" style="0" width="28"/>
    <col customWidth="1" min="8" max="8" style="0" width="10"/>
    <col customWidth="1" min="9" max="10" style="0" width="9"/>
    <col customWidth="1" min="11" max="11" style="0" width="18"/>
  </cols>
  <sheetData>
    <row r="1" ht="39.75" customHeight="1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7.7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ht="23.850000000000001">
      <c r="A3" s="17" t="s">
        <v>329</v>
      </c>
      <c r="B3" s="17" t="s">
        <v>330</v>
      </c>
      <c r="C3" s="17" t="s">
        <v>3</v>
      </c>
      <c r="D3" s="17" t="s">
        <v>331</v>
      </c>
      <c r="E3" s="17" t="s">
        <v>332</v>
      </c>
      <c r="F3" s="17" t="s">
        <v>8</v>
      </c>
      <c r="G3" s="17" t="s">
        <v>9</v>
      </c>
      <c r="H3" s="17" t="s">
        <v>333</v>
      </c>
      <c r="I3" s="17" t="s">
        <v>11</v>
      </c>
      <c r="J3" s="17" t="s">
        <v>10</v>
      </c>
      <c r="K3" s="17" t="s">
        <v>12</v>
      </c>
    </row>
    <row r="4" ht="79.5" customHeight="1">
      <c r="A4" s="4" t="s">
        <v>334</v>
      </c>
      <c r="B4" s="4" t="s">
        <v>123</v>
      </c>
      <c r="C4" s="4" t="s">
        <v>109</v>
      </c>
      <c r="D4" s="5" t="s">
        <v>335</v>
      </c>
      <c r="E4" s="5" t="s">
        <v>336</v>
      </c>
      <c r="F4" s="5" t="s">
        <v>337</v>
      </c>
      <c r="G4" s="5" t="s">
        <v>338</v>
      </c>
      <c r="H4" s="12" t="s">
        <v>339</v>
      </c>
      <c r="I4" s="4" t="s">
        <v>22</v>
      </c>
      <c r="J4" s="18" t="s">
        <v>340</v>
      </c>
      <c r="K4" s="5" t="s">
        <v>341</v>
      </c>
    </row>
  </sheetData>
  <mergeCells count="2">
    <mergeCell ref="A1:K1"/>
    <mergeCell ref="A2:K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ColWidth="8.6796875" defaultRowHeight="15"/>
  <cols>
    <col customWidth="1" min="1" max="1" style="0" width="22"/>
    <col customWidth="1" min="2" max="4" style="0" width="14"/>
  </cols>
  <sheetData>
    <row r="1" ht="36" customHeight="1">
      <c r="A1" s="1" t="s">
        <v>342</v>
      </c>
      <c r="B1" s="1"/>
      <c r="C1" s="1"/>
      <c r="D1" s="1"/>
    </row>
    <row r="2" ht="21.75" customHeight="1">
      <c r="A2" s="19" t="s">
        <v>343</v>
      </c>
      <c r="B2" s="20" t="s">
        <v>344</v>
      </c>
      <c r="C2" s="20"/>
      <c r="D2" s="20"/>
    </row>
    <row r="3" ht="21.75" customHeight="1">
      <c r="A3" s="19" t="s">
        <v>345</v>
      </c>
      <c r="B3" s="20" t="s">
        <v>346</v>
      </c>
      <c r="C3" s="20"/>
      <c r="D3" s="20"/>
    </row>
    <row r="4" ht="21.75" customHeight="1">
      <c r="A4" s="19" t="s">
        <v>347</v>
      </c>
      <c r="B4" s="20" t="s">
        <v>348</v>
      </c>
      <c r="C4" s="20"/>
      <c r="D4" s="20"/>
    </row>
    <row r="5" ht="21.75" customHeight="1">
      <c r="A5" s="19" t="s">
        <v>349</v>
      </c>
      <c r="B5" s="20" t="s">
        <v>350</v>
      </c>
      <c r="C5" s="20"/>
      <c r="D5" s="20"/>
    </row>
    <row r="6" ht="21.75" customHeight="1">
      <c r="A6" s="19" t="s">
        <v>351</v>
      </c>
      <c r="B6" s="20" t="s">
        <v>352</v>
      </c>
      <c r="C6" s="20"/>
      <c r="D6" s="20"/>
    </row>
    <row r="7" ht="21.75" customHeight="1">
      <c r="A7" s="19" t="s">
        <v>353</v>
      </c>
      <c r="B7" s="20" t="s">
        <v>354</v>
      </c>
      <c r="C7" s="20"/>
      <c r="D7" s="20"/>
    </row>
    <row r="9" ht="27.75" customHeight="1">
      <c r="A9" s="21" t="s">
        <v>355</v>
      </c>
      <c r="B9" s="21" t="s">
        <v>356</v>
      </c>
    </row>
    <row r="10" ht="21.75" customHeight="1">
      <c r="A10" s="22" t="s">
        <v>357</v>
      </c>
      <c r="B10" s="23">
        <f>COUNTA('Test Cases'!A4:A1000)</f>
        <v>50</v>
      </c>
    </row>
    <row r="11" ht="21.75" customHeight="1">
      <c r="A11" s="24" t="s">
        <v>21</v>
      </c>
      <c r="B11" s="25">
        <f>COUNTIF('Test Cases'!I4:I1000,"Pass")</f>
        <v>49</v>
      </c>
    </row>
    <row r="12" ht="21.75" customHeight="1">
      <c r="A12" s="26" t="s">
        <v>129</v>
      </c>
      <c r="B12" s="18">
        <f>COUNTIF('Test Cases'!I4:I1000,"Fail")</f>
        <v>1</v>
      </c>
    </row>
    <row r="13" ht="21.75" customHeight="1">
      <c r="A13" s="27" t="s">
        <v>358</v>
      </c>
      <c r="B13" s="28">
        <f>COUNTIF('Test Cases'!I4:I1000,"Blocked")</f>
        <v>0</v>
      </c>
    </row>
    <row r="14" ht="21.75" customHeight="1">
      <c r="A14" s="22" t="s">
        <v>359</v>
      </c>
      <c r="B14" s="23">
        <f>COUNTIF('Test Cases'!I4:I1000,"")</f>
        <v>947</v>
      </c>
    </row>
    <row r="15" ht="21.75" customHeight="1">
      <c r="A15" s="22" t="s">
        <v>360</v>
      </c>
      <c r="B15" s="23">
        <f>COUNTA('Bug Report'!A4:A1000)</f>
        <v>1</v>
      </c>
    </row>
    <row r="16" ht="21.75" customHeight="1">
      <c r="A16" s="29" t="s">
        <v>361</v>
      </c>
      <c r="B16" s="30">
        <f>IFERROR(B11/B10*100,0)</f>
        <v>98</v>
      </c>
    </row>
  </sheetData>
  <mergeCells count="7">
    <mergeCell ref="A1:D1"/>
    <mergeCell ref="B2:D2"/>
    <mergeCell ref="B3:D3"/>
    <mergeCell ref="B4:D4"/>
    <mergeCell ref="B5:D5"/>
    <mergeCell ref="B6:D6"/>
    <mergeCell ref="B7:D7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2026-03-30T11:37:53Z</dcterms:created>
  <dcterms:modified xsi:type="dcterms:W3CDTF">2026-03-30T14:24:14Z</dcterms:modified>
</cp:coreProperties>
</file>